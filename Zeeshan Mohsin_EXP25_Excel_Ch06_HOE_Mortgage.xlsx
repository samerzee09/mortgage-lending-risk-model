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ze\Downloads\"/>
    </mc:Choice>
  </mc:AlternateContent>
  <xr:revisionPtr revIDLastSave="0" documentId="13_ncr:1_{6AADEC30-F722-4F59-953C-ADD485F24AAB}" xr6:coauthVersionLast="47" xr6:coauthVersionMax="47" xr10:uidLastSave="{00000000-0000-0000-0000-000000000000}"/>
  <bookViews>
    <workbookView xWindow="25750" yWindow="10760" windowWidth="21580" windowHeight="20380" activeTab="2" xr2:uid="{00000000-000D-0000-FFFF-FFFF00000000}"/>
  </bookViews>
  <sheets>
    <sheet name="Scenario Summary" sheetId="3" r:id="rId1"/>
    <sheet name="Answer Report 1" sheetId="4" r:id="rId2"/>
    <sheet name="Home Loan" sheetId="1" r:id="rId3"/>
    <sheet name="Range Names" sheetId="2" r:id="rId4"/>
  </sheets>
  <definedNames>
    <definedName name="Amount_of_Loan">'Home Loan'!$B$9</definedName>
    <definedName name="Down_Payment">'Home Loan'!$B$3</definedName>
    <definedName name="No._Payment_Periods">'Home Loan'!$B$11</definedName>
    <definedName name="Periodic_Rate">'Home Loan'!$B$10</definedName>
    <definedName name="Purchase_Price">'Home Loan'!$B$2</definedName>
    <definedName name="solver_adj" localSheetId="2" hidden="1">'Home Loan'!$B$2:$B$5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'Home Loan'!$B$4</definedName>
    <definedName name="solver_lhs2" localSheetId="2" hidden="1">'Home Loan'!$B$4</definedName>
    <definedName name="solver_lhs3" localSheetId="2" hidden="1">'Home Loan'!$B$5</definedName>
    <definedName name="solver_lhs4" localSheetId="2" hidden="1">'Home Loan'!$B$5</definedName>
    <definedName name="solver_lhs5" localSheetId="2" hidden="1">'Home Loan'!$B$5</definedName>
    <definedName name="solver_lhs6" localSheetId="2" hidden="1">'Home Loan'!$B$3</definedName>
    <definedName name="solver_lhs7" localSheetId="2" hidden="1">'Home Loan'!$B$3</definedName>
    <definedName name="solver_lhs8" localSheetId="2" hidden="1">'Home Loan'!$B$2</definedName>
    <definedName name="solver_lhs9" localSheetId="2" hidden="1">'Home Loan'!$B$2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9</definedName>
    <definedName name="solver_nwt" localSheetId="2" hidden="1">1</definedName>
    <definedName name="solver_opt" localSheetId="2" hidden="1">'Home Loan'!$B$12</definedName>
    <definedName name="solver_pre" localSheetId="2" hidden="1">0.000001</definedName>
    <definedName name="solver_rbv" localSheetId="2" hidden="1">2</definedName>
    <definedName name="solver_rel1" localSheetId="2" hidden="1">1</definedName>
    <definedName name="solver_rel2" localSheetId="2" hidden="1">3</definedName>
    <definedName name="solver_rel3" localSheetId="2" hidden="1">1</definedName>
    <definedName name="solver_rel4" localSheetId="2" hidden="1">4</definedName>
    <definedName name="solver_rel5" localSheetId="2" hidden="1">3</definedName>
    <definedName name="solver_rel6" localSheetId="2" hidden="1">1</definedName>
    <definedName name="solver_rel7" localSheetId="2" hidden="1">3</definedName>
    <definedName name="solver_rel8" localSheetId="2" hidden="1">1</definedName>
    <definedName name="solver_rel9" localSheetId="2" hidden="1">3</definedName>
    <definedName name="solver_rhs1" localSheetId="2" hidden="1">6%</definedName>
    <definedName name="solver_rhs2" localSheetId="2" hidden="1">4%</definedName>
    <definedName name="solver_rhs3" localSheetId="2" hidden="1">30</definedName>
    <definedName name="solver_rhs4" localSheetId="2" hidden="1">"integer"</definedName>
    <definedName name="solver_rhs5" localSheetId="2" hidden="1">15</definedName>
    <definedName name="solver_rhs6" localSheetId="2" hidden="1">10000</definedName>
    <definedName name="solver_rhs7" localSheetId="2" hidden="1">5000</definedName>
    <definedName name="solver_rhs8" localSheetId="2" hidden="1">300000</definedName>
    <definedName name="solver_rhs9" localSheetId="2" hidden="1">100000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1000</definedName>
    <definedName name="solver_ver" localSheetId="2" hidden="1">3</definedName>
    <definedName name="Total_to_Repay_Loan">'Home Loan'!$B$13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10" i="1"/>
  <c r="B9" i="1"/>
  <c r="B12" i="1" l="1"/>
  <c r="E3" i="1" s="1"/>
  <c r="B13" i="1" l="1"/>
  <c r="F3" i="1" s="1"/>
  <c r="I3" i="1"/>
  <c r="B14" i="1"/>
  <c r="G3" i="1" s="1"/>
</calcChain>
</file>

<file path=xl/sharedStrings.xml><?xml version="1.0" encoding="utf-8"?>
<sst xmlns="http://schemas.openxmlformats.org/spreadsheetml/2006/main" count="129" uniqueCount="83">
  <si>
    <t>Input Area</t>
  </si>
  <si>
    <t>Down Payment</t>
  </si>
  <si>
    <t>APR</t>
  </si>
  <si>
    <t>No. Years for Loan</t>
  </si>
  <si>
    <t>Payments Per Year</t>
  </si>
  <si>
    <t>Output Area</t>
  </si>
  <si>
    <t>Amount of Loan</t>
  </si>
  <si>
    <t>Periodic Rate</t>
  </si>
  <si>
    <t>No. Payment Periods</t>
  </si>
  <si>
    <t>Monthly Payment</t>
  </si>
  <si>
    <t>Total to Repay Loan</t>
  </si>
  <si>
    <t>Total Interest Paid</t>
  </si>
  <si>
    <t>One-Variable Data Table: APR</t>
  </si>
  <si>
    <t>Calculated Results for Each APR</t>
  </si>
  <si>
    <t>Monthly Payment by Cost/APR</t>
  </si>
  <si>
    <t>Cost of home</t>
  </si>
  <si>
    <t>Two-Variable Data Table: APR and Cost of Home</t>
  </si>
  <si>
    <t>Range Names</t>
  </si>
  <si>
    <t>Location</t>
  </si>
  <si>
    <t>Amount_of_Loan</t>
  </si>
  <si>
    <t>='Home Loan'!$B$9</t>
  </si>
  <si>
    <t>Down_Payment</t>
  </si>
  <si>
    <t>='Home Loan'!$B$3</t>
  </si>
  <si>
    <t>No._Payment_Periods</t>
  </si>
  <si>
    <t>='Home Loan'!$B$11</t>
  </si>
  <si>
    <t>Periodic_Rate</t>
  </si>
  <si>
    <t>='Home Loan'!$B$10</t>
  </si>
  <si>
    <t>Purchase_Price</t>
  </si>
  <si>
    <t>='Home Loan'!$B$2</t>
  </si>
  <si>
    <t>Total_to_Repay_Loan</t>
  </si>
  <si>
    <t>='Home Loan'!$B$13</t>
  </si>
  <si>
    <t>$B$4</t>
  </si>
  <si>
    <t>$B$5</t>
  </si>
  <si>
    <t>$B$12</t>
  </si>
  <si>
    <t>Best*Case Scenario</t>
  </si>
  <si>
    <t>Created by Sam Zee on 3/9/2026
Modified by Sam Zee on 3/9/2026</t>
  </si>
  <si>
    <t>Worst*Case Scenario</t>
  </si>
  <si>
    <t>Muost Likely Scenario</t>
  </si>
  <si>
    <t>Scenario Summary</t>
  </si>
  <si>
    <t>Changing Cells:</t>
  </si>
  <si>
    <t>Result Cells:</t>
  </si>
  <si>
    <t>Cost Of Home</t>
  </si>
  <si>
    <t>Years</t>
  </si>
  <si>
    <t>Monthly Payments</t>
  </si>
  <si>
    <t>Microsoft Excel 16.0 Answer Report</t>
  </si>
  <si>
    <t>Worksheet: [Zeeshan Mohsin_EXP25_Excel_Ch06_HOE_Mortgage.xlsx]Home Loan</t>
  </si>
  <si>
    <t>Report Created: 3/9/2026 3:45:02 AM</t>
  </si>
  <si>
    <t>Result: Solver found a solution.  All Constraints and optimality conditions are satisfied.</t>
  </si>
  <si>
    <t>Solver Engine</t>
  </si>
  <si>
    <t>Engine: GRG Nonlinear</t>
  </si>
  <si>
    <t>Solution Time: 0.25 Seconds.</t>
  </si>
  <si>
    <t>Iterations: 1 Subproblems: 2</t>
  </si>
  <si>
    <t>Solver Options</t>
  </si>
  <si>
    <t>Max Time Unlimited,  Iterations Unlimited, Precision 0.000001</t>
  </si>
  <si>
    <t xml:space="preserve"> Convergence 0.0001, Population Size 100, Random Seed 0, Derivatives Central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</si>
  <si>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</si>
  <si>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</si>
  <si>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</si>
  <si>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</si>
  <si>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</si>
  <si>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</si>
  <si>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</si>
  <si>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</si>
  <si>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</si>
  <si>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</si>
  <si>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</si>
  <si>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</si>
  <si>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</si>
  <si>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$B$2</t>
  </si>
  <si>
    <t>Contin</t>
  </si>
  <si>
    <t>$B$3</t>
  </si>
  <si>
    <t>$B$12=1000</t>
  </si>
  <si>
    <t>Binding</t>
  </si>
  <si>
    <t>$B$4&lt;=0.06</t>
  </si>
  <si>
    <t>Not Binding</t>
  </si>
  <si>
    <t>$B$4&gt;=0.04</t>
  </si>
  <si>
    <t>$B$5&lt;=30</t>
  </si>
  <si>
    <t>$B$5&gt;=15</t>
  </si>
  <si>
    <t>$B$3&lt;=10000</t>
  </si>
  <si>
    <t>$B$3&gt;=5000</t>
  </si>
  <si>
    <t>$B$2&lt;=300000</t>
  </si>
  <si>
    <t>$B$2&gt;=100000</t>
  </si>
  <si>
    <t>$B$5=Integer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</si>
</sst>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Payment&quot;"/>
    <numFmt numFmtId="166" formatCode="&quot;Total Repaid&quot;"/>
    <numFmt numFmtId="167" formatCode="&quot;Total Interest&quot;"/>
    <numFmt numFmtId="172" formatCode="&quot;APR&quot;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27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44">
    <xf numFmtId="0" fontId="0" fillId="0" borderId="0" xfId="0"/>
    <xf numFmtId="44" fontId="0" fillId="0" borderId="0" xfId="1" applyFont="1"/>
    <xf numFmtId="10" fontId="0" fillId="3" borderId="0" xfId="2" applyNumberFormat="1" applyFont="1" applyFill="1"/>
    <xf numFmtId="0" fontId="3" fillId="0" borderId="0" xfId="0" applyFont="1"/>
    <xf numFmtId="0" fontId="4" fillId="0" borderId="0" xfId="0" applyFont="1"/>
    <xf numFmtId="0" fontId="1" fillId="0" borderId="0" xfId="17"/>
    <xf numFmtId="0" fontId="2" fillId="2" borderId="0" xfId="18" applyFont="1" applyFill="1"/>
    <xf numFmtId="44" fontId="0" fillId="0" borderId="0" xfId="19" applyFont="1"/>
    <xf numFmtId="10" fontId="1" fillId="0" borderId="0" xfId="20" applyNumberFormat="1"/>
    <xf numFmtId="164" fontId="0" fillId="0" borderId="0" xfId="21" applyNumberFormat="1" applyFont="1"/>
    <xf numFmtId="44" fontId="1" fillId="0" borderId="0" xfId="22" applyNumberFormat="1"/>
    <xf numFmtId="10" fontId="0" fillId="0" borderId="0" xfId="23" applyNumberFormat="1" applyFont="1"/>
    <xf numFmtId="0" fontId="4" fillId="0" borderId="0" xfId="24" applyFont="1" applyAlignment="1">
      <alignment horizontal="center"/>
    </xf>
    <xf numFmtId="8" fontId="0" fillId="0" borderId="0" xfId="19" applyNumberFormat="1" applyFont="1"/>
    <xf numFmtId="165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44" fontId="1" fillId="3" borderId="0" xfId="25" applyNumberFormat="1" applyFill="1"/>
    <xf numFmtId="10" fontId="1" fillId="3" borderId="0" xfId="26" applyNumberFormat="1" applyFill="1"/>
    <xf numFmtId="172" fontId="3" fillId="0" borderId="0" xfId="0" applyNumberFormat="1" applyFont="1" applyAlignment="1">
      <alignment horizontal="center"/>
    </xf>
    <xf numFmtId="44" fontId="0" fillId="0" borderId="0" xfId="0" applyNumberFormat="1" applyFill="1" applyBorder="1" applyAlignment="1"/>
    <xf numFmtId="8" fontId="0" fillId="0" borderId="0" xfId="0" applyNumberFormat="1" applyFill="1" applyBorder="1" applyAlignment="1"/>
    <xf numFmtId="44" fontId="0" fillId="0" borderId="2" xfId="0" applyNumberFormat="1" applyFill="1" applyBorder="1" applyAlignment="1"/>
    <xf numFmtId="0" fontId="5" fillId="4" borderId="3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0" fillId="0" borderId="4" xfId="0" applyFill="1" applyBorder="1" applyAlignment="1"/>
    <xf numFmtId="0" fontId="6" fillId="5" borderId="0" xfId="0" applyFont="1" applyFill="1" applyBorder="1" applyAlignment="1">
      <alignment horizontal="left"/>
    </xf>
    <xf numFmtId="0" fontId="7" fillId="5" borderId="4" xfId="0" applyFont="1" applyFill="1" applyBorder="1" applyAlignment="1">
      <alignment horizontal="left"/>
    </xf>
    <xf numFmtId="0" fontId="6" fillId="5" borderId="2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right"/>
    </xf>
    <xf numFmtId="0" fontId="8" fillId="4" borderId="3" xfId="0" applyFont="1" applyFill="1" applyBorder="1" applyAlignment="1">
      <alignment horizontal="right"/>
    </xf>
    <xf numFmtId="44" fontId="0" fillId="6" borderId="0" xfId="0" applyNumberFormat="1" applyFill="1" applyBorder="1" applyAlignment="1"/>
    <xf numFmtId="10" fontId="0" fillId="6" borderId="0" xfId="0" applyNumberFormat="1" applyFill="1" applyBorder="1" applyAlignment="1"/>
    <xf numFmtId="164" fontId="0" fillId="6" borderId="0" xfId="0" applyNumberFormat="1" applyFill="1" applyBorder="1" applyAlignment="1"/>
    <xf numFmtId="0" fontId="9" fillId="0" borderId="0" xfId="0" applyFont="1" applyFill="1" applyBorder="1" applyAlignment="1">
      <alignment vertical="top" wrapText="1"/>
    </xf>
    <xf numFmtId="0" fontId="0" fillId="0" borderId="6" xfId="0" applyFill="1" applyBorder="1" applyAlignment="1"/>
    <xf numFmtId="0" fontId="7" fillId="0" borderId="5" xfId="0" applyFont="1" applyFill="1" applyBorder="1" applyAlignment="1">
      <alignment horizontal="center"/>
    </xf>
    <xf numFmtId="0" fontId="0" fillId="0" borderId="7" xfId="0" applyFill="1" applyBorder="1" applyAlignment="1"/>
    <xf numFmtId="8" fontId="0" fillId="0" borderId="6" xfId="0" applyNumberFormat="1" applyFill="1" applyBorder="1" applyAlignment="1"/>
    <xf numFmtId="44" fontId="0" fillId="0" borderId="7" xfId="0" applyNumberFormat="1" applyFill="1" applyBorder="1" applyAlignment="1"/>
    <xf numFmtId="10" fontId="0" fillId="0" borderId="7" xfId="0" applyNumberFormat="1" applyFill="1" applyBorder="1" applyAlignment="1"/>
    <xf numFmtId="164" fontId="0" fillId="0" borderId="6" xfId="0" applyNumberFormat="1" applyFill="1" applyBorder="1" applyAlignment="1"/>
    <xf numFmtId="8" fontId="0" fillId="0" borderId="7" xfId="0" applyNumberFormat="1" applyFill="1" applyBorder="1" applyAlignment="1"/>
    <xf numFmtId="164" fontId="0" fillId="0" borderId="7" xfId="0" applyNumberFormat="1" applyFill="1" applyBorder="1" applyAlignment="1"/>
  </cellXfs>
  <cellStyles count="27">
    <cellStyle name="+2dRVCzw053IYYgG7rkn46c4I1yKP0CyYdbcEmC1OkHZWfZKRPfnMaxOBTKgwQiHPGTKGqT3RzmJ3cdVXjD/u9CxZHupVpcW-~tkUpwXaEpAalki0g472X8A==" xfId="14" xr:uid="{00000000-0005-0000-0000-00000F000000}"/>
    <cellStyle name="1g5avqiEfWhnsUWrQ3jzdNOtOYxDK7GempZ8O3Aylt+04/g3rOR1AhH2TNw4aD5i9HhAy1pQt3uxYBDZk4RPQefbDwHddkjW-~MlxwmnpH9Hzl9to0bCt6rA==" xfId="17" xr:uid="{00000000-0005-0000-0000-000012000000}"/>
    <cellStyle name="216dbVw9H8jVkfWJJhUJIomsVnKG12zJ7JRd+FMY+Drvp9wUtb2kKFYa8bdVNjZlDAM2cI/X53cAsg/n+MPmuRccf48HCGt+-~PKJQ1jXHfo+FaWtrgzbh2Q==" xfId="19" xr:uid="{00000000-0005-0000-0000-000014000000}"/>
    <cellStyle name="2FBftT/nCzRfq9J0R8fF3Wuhdm5h0t6FlcwCArpswQHhnxqHZC7UkKTU4lggRWfNCPdSZO0gbtZr1q9g1/nSDT4gXl6tSyZM-~HcalsQERdBnzBp285ZHzJg==" xfId="9" xr:uid="{00000000-0005-0000-0000-00000A000000}"/>
    <cellStyle name="3kGvNHquTmTo7GTye/hGIn6meWsK8dYaDLg/4Cum9RUw5+6rXnGCgO79m0G1g0Qq3kgoG5EfezTGIZs8hAML+AxlzY+n6c8J-~qGnsT514zQq9FO3LS/fxbQ==" xfId="21" xr:uid="{00000000-0005-0000-0000-000016000000}"/>
    <cellStyle name="4QMz53l+gofp3Cr/UOzMMvW2pjvF1K8if+QMaQBPlXAPhZ/ADgrP3hPN6EUkG/8UjmOZhLFNte+8R2X5CbCAP9EAJ96KL6KU-~3VjnRF3P0Gq0FGpXYMZavg==" xfId="22" xr:uid="{00000000-0005-0000-0000-000017000000}"/>
    <cellStyle name="6SKEIPsyTYBQYf/jefed3GyJqIvDGOMZxEmdpSq9i8VHoPQZvd4TFheo73i+jW++ZCX7hQlzl6iK4FSfx1qB37UJIcu/BWf+-~B1YONBKJDL9En3sc8AMuQg==" xfId="16" xr:uid="{00000000-0005-0000-0000-000011000000}"/>
    <cellStyle name="73+YwXdS1FkX4Id7GsmYf2xiZ4TgpE7r5xSI/a8aK9edsy6tHriABGZt6dyeYmgRHfI1KlRr9yiJ3o6yqERE0u5fk1ZygoL6-~UTM/UByW3JpAQANov9svpg==" xfId="12" xr:uid="{00000000-0005-0000-0000-00000D000000}"/>
    <cellStyle name="7BDdEfETswOtoKaU/JNghwtGupmtkhfrR5Rv2yg9SxxwsSn59hz13WqTLdlOP0jkFw55VZktf6S61JTJcfX5/TvVcGzgCWDN-~kdDZdvzyAEV+HpDZltkhdg==" xfId="23" xr:uid="{00000000-0005-0000-0000-000018000000}"/>
    <cellStyle name="8IwkchClSq3rnhO/368cdbSYASsqRKih1Ifi6F45X0k4DGvMBi3fuDWsAFix5RggONeTXBDpmuIylV5F9DRoG+lK8b04F/jg-~u6lqkmS+Gks50y9y8aVJeA==" xfId="24" xr:uid="{00000000-0005-0000-0000-000019000000}"/>
    <cellStyle name="Currency" xfId="1" builtinId="4"/>
    <cellStyle name="Dlx73dWJzriwJxVS6OR0CjUtMQ/t3+urGBq93wxJeNVKaXG4rDQQ6rbD9vm4PpZv917kpa2NzlKb0UyBL3X2PfyIqIdAFWS9-~EnNujeoM6KllRJTwceOthw==" xfId="7" xr:uid="{00000000-0005-0000-0000-000008000000}"/>
    <cellStyle name="DY1/7CbYEUYPDoPb0ZQC5EvipuSRtmrUo/goGV+hdTFRDv84QNlSDKIdOantgGmtPTUi45lD7Eil4VXgJsK0lcq2e4A8Vaag-~srV65LFQB6hi+F2KTmNrBw==" xfId="13" xr:uid="{00000000-0005-0000-0000-00000E000000}"/>
    <cellStyle name="iG3AooHIhl00mUHwJ/TgxI5hb8FImljbnhadXnoO4H1KYHtN4bq7+EQO9WJUdKOEqPHzYRtf/DFtZYx7meJ6DTBId6lY9FNq-~Pokzu6TaVWzHLroJKhj2tg==" xfId="3" xr:uid="{00000000-0005-0000-0000-000004000000}"/>
    <cellStyle name="j1eSN1TnzGevHUgUkei7eiN9W8AgJ/qRpBtuTV2DlRD6fXAx3hkZQxOLCTk5iy6YAZuFM4FrbqCDNXim0FBUyLkiof7Oit2j-~CzkEUbj1XYaiG+V77Au/Cw==" xfId="5" xr:uid="{00000000-0005-0000-0000-000006000000}"/>
    <cellStyle name="Jo+d8BP5mRo3YguPK0TmLq0XpPN+rCmE2hIGfYaEY/DzwiSboVRXyx/1aS3g3a4qozkbnB1Dkxarv36/YKKte2belyk296MH-~6zJXg2oRLCL9U96NJje9hQ==" xfId="4" xr:uid="{00000000-0005-0000-0000-000005000000}"/>
    <cellStyle name="Lx3mqxfMkFTbeSHhlGzvdrohF1MhjAZc4ml/xVUxjmthn5Xp85z8/0MQAEpTmLD+vLJ2EONlzEsp2iTSKD/AxfZeFp7dD5js-~MaQBKTVGEomPzxmJEVms/g==" xfId="18" xr:uid="{00000000-0005-0000-0000-000013000000}"/>
    <cellStyle name="mlK6hlIu/Nk8sZWQvzirgkOXsuzwChwSJR4yB2a01+DAYvqMpsFTFWJj4vbi40YvjiBjHR+/qK2xctFlyMfOW0povXj3qB7x-~hnv6R9fhfC1BCZXcMfpEZA==" xfId="11" xr:uid="{00000000-0005-0000-0000-00000C000000}"/>
    <cellStyle name="ncYIBqgnQGi+l4dDM01SO56LW4TkFpXvlMviIfFZ/sgUcx2ApfyJVtQIF9UUfZkmu1rM9Bi6Q6fRJyExg/RITPxieK+px7DR-~5pJKi0vXyikiG8BgDPtPiw==" xfId="20" xr:uid="{00000000-0005-0000-0000-000015000000}"/>
    <cellStyle name="Normal" xfId="0" builtinId="0"/>
    <cellStyle name="nqN5ufn2noddvJ+ozlUIJwJHMmvSSEXsBUvEa1ALHMkqpW/lEzvZUtYxlbcl9LxtuYBA0MNwMTYNFPqJDiueZKEb10KuWGxN-~sHTnjwK0RqA1hF5Ckk96rQ==" xfId="6" xr:uid="{00000000-0005-0000-0000-000007000000}"/>
    <cellStyle name="Percent" xfId="2" builtinId="5"/>
    <cellStyle name="pgklYHrvYHJ/DNPawaJOc4fIFecH/Ht8MKcWU8phRXKkYbfjbBqOxnq6GmezWOvC3e91oCynr8vAsK1P46Fc0Xq0irH1l2Ni-~RG0e4F49il2Uu4BOQV5Q5A==" xfId="8" xr:uid="{00000000-0005-0000-0000-000009000000}"/>
    <cellStyle name="pLddwKZuxJSxVoD8qPU7O1DrakO4FzZJFdKH8Tf+bimtJTTLwD/O5QJrA6jvMKF7rzb4glcmC5zAzMnUtEk4RhO5GqRB886S-~psolUhr0LfWDw4HmFfwd8w==" xfId="25" xr:uid="{00000000-0005-0000-0000-00001A000000}"/>
    <cellStyle name="toc7EnuRB3iKMdDkTlt8A82o1qD4wHzC5iIDcWOUys0+LgKz00hLR5vVqzqF+ZGqU8BHArxiqW7VDQBcjQ91Sz0x9pfe9Mgv-~wcgsqGnBIcjtwkCqdbmbGA==" xfId="10" xr:uid="{00000000-0005-0000-0000-00000B000000}"/>
    <cellStyle name="YF7TJxP3S/tKhrodSmxSMr2GyxchXmlLqPhxuTgNTlfQSzh4KQtc2zwyvHgZk0i8odoPfBynL//lvwwo/voyRw/IfhGANU/N-~kNmaqjLnO6TIelqZCm79Gw==" xfId="15" xr:uid="{00000000-0005-0000-0000-000010000000}"/>
    <cellStyle name="ZZDHz3306hHOm6b9yhk54kf+Q/qSPG/8/TaOrgC+W2mUiDUn9Y7kEAxltyD5XMgdUkmop7l6jaro8nYUgyCeXuAfgc77WVO0-~3kDZPgZbc6njaXtVNUh1CQ==" xfId="26" xr:uid="{00000000-0005-0000-0000-00001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B704E-4E1F-41A1-A27D-DE56D7713481}">
  <sheetPr>
    <outlinePr summaryBelow="0"/>
  </sheetPr>
  <dimension ref="A1:D12"/>
  <sheetViews>
    <sheetView showGridLines="0" workbookViewId="0">
      <selection activeCell="D16" sqref="D16"/>
    </sheetView>
  </sheetViews>
  <sheetFormatPr defaultRowHeight="15" outlineLevelRow="1" outlineLevelCol="1" x14ac:dyDescent="0.25"/>
  <cols>
    <col min="1" max="1" width="19" customWidth="1"/>
    <col min="2" max="4" width="18.42578125" bestFit="1" customWidth="1" outlineLevel="1"/>
  </cols>
  <sheetData>
    <row r="1" spans="1:4" ht="15.75" x14ac:dyDescent="0.25">
      <c r="A1" s="24" t="s">
        <v>38</v>
      </c>
      <c r="B1" s="29"/>
      <c r="C1" s="29"/>
      <c r="D1" s="29"/>
    </row>
    <row r="2" spans="1:4" ht="15.75" collapsed="1" x14ac:dyDescent="0.25">
      <c r="A2" s="23"/>
      <c r="B2" s="30" t="s">
        <v>34</v>
      </c>
      <c r="C2" s="30" t="s">
        <v>36</v>
      </c>
      <c r="D2" s="30" t="s">
        <v>37</v>
      </c>
    </row>
    <row r="3" spans="1:4" ht="45" hidden="1" outlineLevel="1" x14ac:dyDescent="0.25">
      <c r="A3" s="26"/>
      <c r="B3" s="34" t="s">
        <v>35</v>
      </c>
      <c r="C3" s="34" t="s">
        <v>35</v>
      </c>
      <c r="D3" s="34" t="s">
        <v>35</v>
      </c>
    </row>
    <row r="4" spans="1:4" x14ac:dyDescent="0.25">
      <c r="A4" s="27" t="s">
        <v>39</v>
      </c>
      <c r="B4" s="25"/>
      <c r="C4" s="25"/>
      <c r="D4" s="25"/>
    </row>
    <row r="5" spans="1:4" outlineLevel="1" x14ac:dyDescent="0.25">
      <c r="A5" s="26" t="s">
        <v>41</v>
      </c>
      <c r="B5" s="31">
        <v>150000</v>
      </c>
      <c r="C5" s="31">
        <v>150000</v>
      </c>
      <c r="D5" s="31">
        <v>150000</v>
      </c>
    </row>
    <row r="6" spans="1:4" outlineLevel="1" x14ac:dyDescent="0.25">
      <c r="A6" s="26" t="s">
        <v>1</v>
      </c>
      <c r="B6" s="31">
        <v>10000</v>
      </c>
      <c r="C6" s="31">
        <v>45000</v>
      </c>
      <c r="D6" s="31">
        <v>30000</v>
      </c>
    </row>
    <row r="7" spans="1:4" outlineLevel="1" x14ac:dyDescent="0.25">
      <c r="A7" s="26" t="s">
        <v>2</v>
      </c>
      <c r="B7" s="32">
        <v>2.2499999999999999E-2</v>
      </c>
      <c r="C7" s="32">
        <v>0.06</v>
      </c>
      <c r="D7" s="32">
        <v>4.2500000000000003E-2</v>
      </c>
    </row>
    <row r="8" spans="1:4" outlineLevel="1" x14ac:dyDescent="0.25">
      <c r="A8" s="26" t="s">
        <v>42</v>
      </c>
      <c r="B8" s="33">
        <v>15</v>
      </c>
      <c r="C8" s="33">
        <v>45</v>
      </c>
      <c r="D8" s="33">
        <v>30</v>
      </c>
    </row>
    <row r="9" spans="1:4" x14ac:dyDescent="0.25">
      <c r="A9" s="27" t="s">
        <v>40</v>
      </c>
      <c r="B9" s="25"/>
      <c r="C9" s="25"/>
      <c r="D9" s="25"/>
    </row>
    <row r="10" spans="1:4" outlineLevel="1" x14ac:dyDescent="0.25">
      <c r="A10" s="26" t="s">
        <v>43</v>
      </c>
      <c r="B10" s="21">
        <v>917.11867779816498</v>
      </c>
      <c r="C10" s="21">
        <v>563.09879589988395</v>
      </c>
      <c r="D10" s="21">
        <v>590.32786929537997</v>
      </c>
    </row>
    <row r="11" spans="1:4" outlineLevel="1" x14ac:dyDescent="0.25">
      <c r="A11" s="26" t="s">
        <v>10</v>
      </c>
      <c r="B11" s="20">
        <v>165081.36200366999</v>
      </c>
      <c r="C11" s="20">
        <v>304073.349785937</v>
      </c>
      <c r="D11" s="20">
        <v>212518.03294633701</v>
      </c>
    </row>
    <row r="12" spans="1:4" ht="15.75" outlineLevel="1" thickBot="1" x14ac:dyDescent="0.3">
      <c r="A12" s="28" t="s">
        <v>11</v>
      </c>
      <c r="B12" s="22">
        <v>25081.362003669601</v>
      </c>
      <c r="C12" s="22">
        <v>199073.349785937</v>
      </c>
      <c r="D12" s="22">
        <v>92518.032946336898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A911C-6DED-4DD1-ABC4-7EC060F803D8}">
  <dimension ref="A1:G38"/>
  <sheetViews>
    <sheetView showGridLines="0" topLeftCell="A10" workbookViewId="0"/>
  </sheetViews>
  <sheetFormatPr defaultRowHeight="15" x14ac:dyDescent="0.25"/>
  <cols>
    <col min="1" max="1" width="2.28515625" customWidth="1"/>
    <col min="2" max="2" width="12.5703125" bestFit="1" customWidth="1"/>
    <col min="3" max="3" width="17" bestFit="1" customWidth="1"/>
    <col min="4" max="5" width="13.7109375" bestFit="1" customWidth="1"/>
    <col min="6" max="6" width="11.42578125" bestFit="1" customWidth="1"/>
    <col min="7" max="7" width="12.42578125" bestFit="1" customWidth="1"/>
  </cols>
  <sheetData>
    <row r="1" spans="1:5" x14ac:dyDescent="0.25">
      <c r="A1" s="3" t="s">
        <v>44</v>
      </c>
    </row>
    <row r="2" spans="1:5" x14ac:dyDescent="0.25">
      <c r="A2" s="3" t="s">
        <v>45</v>
      </c>
    </row>
    <row r="3" spans="1:5" x14ac:dyDescent="0.25">
      <c r="A3" s="3" t="s">
        <v>46</v>
      </c>
    </row>
    <row r="4" spans="1:5" x14ac:dyDescent="0.25">
      <c r="A4" s="3" t="s">
        <v>47</v>
      </c>
    </row>
    <row r="5" spans="1:5" x14ac:dyDescent="0.25">
      <c r="A5" s="3" t="s">
        <v>48</v>
      </c>
    </row>
    <row r="6" spans="1:5" x14ac:dyDescent="0.25">
      <c r="A6" s="3"/>
      <c r="B6" t="s">
        <v>49</v>
      </c>
    </row>
    <row r="7" spans="1:5" x14ac:dyDescent="0.25">
      <c r="A7" s="3"/>
      <c r="B7" t="s">
        <v>50</v>
      </c>
    </row>
    <row r="8" spans="1:5" x14ac:dyDescent="0.25">
      <c r="A8" s="3"/>
      <c r="B8" t="s">
        <v>51</v>
      </c>
    </row>
    <row r="9" spans="1:5" x14ac:dyDescent="0.25">
      <c r="A9" s="3" t="s">
        <v>52</v>
      </c>
    </row>
    <row r="10" spans="1:5" x14ac:dyDescent="0.25">
      <c r="B10" t="s">
        <v>53</v>
      </c>
    </row>
    <row r="11" spans="1:5" x14ac:dyDescent="0.25">
      <c r="B11" t="s">
        <v>54</v>
      </c>
    </row>
    <row r="12" spans="1:5" x14ac:dyDescent="0.25">
      <c r="B12" t="s">
        <v>55</v>
      </c>
    </row>
    <row r="14" spans="1:5" ht="15.75" thickBot="1" x14ac:dyDescent="0.3">
      <c r="A14" t="s">
        <v>56</v>
      </c>
    </row>
    <row r="15" spans="1:5" ht="15.75" thickBot="1" x14ac:dyDescent="0.3">
      <c r="B15" s="36" t="s">
        <v>57</v>
      </c>
      <c r="C15" s="36" t="s">
        <v>58</v>
      </c>
      <c r="D15" s="36" t="s">
        <v>59</v>
      </c>
      <c r="E15" s="36" t="s">
        <v>60</v>
      </c>
    </row>
    <row r="16" spans="1:5" ht="15.75" thickBot="1" x14ac:dyDescent="0.3">
      <c r="B16" s="35" t="s">
        <v>33</v>
      </c>
      <c r="C16" s="35" t="s">
        <v>9</v>
      </c>
      <c r="D16" s="38">
        <v>590.3279</v>
      </c>
      <c r="E16" s="38">
        <v>1000</v>
      </c>
    </row>
    <row r="19" spans="1:7" ht="15.75" thickBot="1" x14ac:dyDescent="0.3">
      <c r="A19" t="s">
        <v>61</v>
      </c>
    </row>
    <row r="20" spans="1:7" ht="15.75" thickBot="1" x14ac:dyDescent="0.3">
      <c r="B20" s="36" t="s">
        <v>57</v>
      </c>
      <c r="C20" s="36" t="s">
        <v>58</v>
      </c>
      <c r="D20" s="36" t="s">
        <v>59</v>
      </c>
      <c r="E20" s="36" t="s">
        <v>60</v>
      </c>
      <c r="F20" s="36" t="s">
        <v>62</v>
      </c>
    </row>
    <row r="21" spans="1:7" x14ac:dyDescent="0.25">
      <c r="B21" s="37" t="s">
        <v>68</v>
      </c>
      <c r="C21" s="37" t="s">
        <v>27</v>
      </c>
      <c r="D21" s="39">
        <v>150000</v>
      </c>
      <c r="E21" s="39">
        <v>150000.0091</v>
      </c>
      <c r="F21" s="37" t="s">
        <v>69</v>
      </c>
    </row>
    <row r="22" spans="1:7" x14ac:dyDescent="0.25">
      <c r="B22" s="37" t="s">
        <v>70</v>
      </c>
      <c r="C22" s="37" t="s">
        <v>21</v>
      </c>
      <c r="D22" s="39">
        <v>30000</v>
      </c>
      <c r="E22" s="39">
        <v>9993.3371000000006</v>
      </c>
      <c r="F22" s="37" t="s">
        <v>69</v>
      </c>
    </row>
    <row r="23" spans="1:7" x14ac:dyDescent="0.25">
      <c r="B23" s="37" t="s">
        <v>31</v>
      </c>
      <c r="C23" s="37" t="s">
        <v>2</v>
      </c>
      <c r="D23" s="40">
        <v>4.2500000000000003E-2</v>
      </c>
      <c r="E23" s="40">
        <v>5.9621932131066466E-2</v>
      </c>
      <c r="F23" s="37" t="s">
        <v>69</v>
      </c>
    </row>
    <row r="24" spans="1:7" ht="15.75" thickBot="1" x14ac:dyDescent="0.3">
      <c r="B24" s="35" t="s">
        <v>32</v>
      </c>
      <c r="C24" s="35" t="s">
        <v>3</v>
      </c>
      <c r="D24" s="41">
        <v>30</v>
      </c>
      <c r="E24" s="41">
        <v>20</v>
      </c>
      <c r="F24" s="35" t="s">
        <v>62</v>
      </c>
    </row>
    <row r="27" spans="1:7" ht="15.75" thickBot="1" x14ac:dyDescent="0.3">
      <c r="A27" t="s">
        <v>63</v>
      </c>
    </row>
    <row r="28" spans="1:7" ht="15.75" thickBot="1" x14ac:dyDescent="0.3">
      <c r="B28" s="36" t="s">
        <v>57</v>
      </c>
      <c r="C28" s="36" t="s">
        <v>58</v>
      </c>
      <c r="D28" s="36" t="s">
        <v>64</v>
      </c>
      <c r="E28" s="36" t="s">
        <v>65</v>
      </c>
      <c r="F28" s="36" t="s">
        <v>66</v>
      </c>
      <c r="G28" s="36" t="s">
        <v>67</v>
      </c>
    </row>
    <row r="29" spans="1:7" x14ac:dyDescent="0.25">
      <c r="B29" s="37" t="s">
        <v>33</v>
      </c>
      <c r="C29" s="37" t="s">
        <v>9</v>
      </c>
      <c r="D29" s="42">
        <v>1000</v>
      </c>
      <c r="E29" s="37" t="s">
        <v>71</v>
      </c>
      <c r="F29" s="37" t="s">
        <v>72</v>
      </c>
      <c r="G29" s="37">
        <v>0</v>
      </c>
    </row>
    <row r="30" spans="1:7" x14ac:dyDescent="0.25">
      <c r="B30" s="37" t="s">
        <v>31</v>
      </c>
      <c r="C30" s="37" t="s">
        <v>2</v>
      </c>
      <c r="D30" s="40">
        <v>5.9621932131066466E-2</v>
      </c>
      <c r="E30" s="37" t="s">
        <v>73</v>
      </c>
      <c r="F30" s="37" t="s">
        <v>74</v>
      </c>
      <c r="G30" s="37">
        <v>3.7806786893353206E-4</v>
      </c>
    </row>
    <row r="31" spans="1:7" x14ac:dyDescent="0.25">
      <c r="B31" s="37" t="s">
        <v>31</v>
      </c>
      <c r="C31" s="37" t="s">
        <v>2</v>
      </c>
      <c r="D31" s="40">
        <v>5.9621932131066466E-2</v>
      </c>
      <c r="E31" s="37" t="s">
        <v>75</v>
      </c>
      <c r="F31" s="37" t="s">
        <v>74</v>
      </c>
      <c r="G31" s="40">
        <v>1.9621932131066465E-2</v>
      </c>
    </row>
    <row r="32" spans="1:7" x14ac:dyDescent="0.25">
      <c r="B32" s="37" t="s">
        <v>32</v>
      </c>
      <c r="C32" s="37" t="s">
        <v>3</v>
      </c>
      <c r="D32" s="43">
        <v>20</v>
      </c>
      <c r="E32" s="37" t="s">
        <v>76</v>
      </c>
      <c r="F32" s="37" t="s">
        <v>72</v>
      </c>
      <c r="G32" s="37">
        <v>0</v>
      </c>
    </row>
    <row r="33" spans="2:7" x14ac:dyDescent="0.25">
      <c r="B33" s="37" t="s">
        <v>32</v>
      </c>
      <c r="C33" s="37" t="s">
        <v>3</v>
      </c>
      <c r="D33" s="43">
        <v>20</v>
      </c>
      <c r="E33" s="37" t="s">
        <v>77</v>
      </c>
      <c r="F33" s="37" t="s">
        <v>74</v>
      </c>
      <c r="G33" s="43">
        <v>5</v>
      </c>
    </row>
    <row r="34" spans="2:7" x14ac:dyDescent="0.25">
      <c r="B34" s="37" t="s">
        <v>70</v>
      </c>
      <c r="C34" s="37" t="s">
        <v>21</v>
      </c>
      <c r="D34" s="39">
        <v>9993.34</v>
      </c>
      <c r="E34" s="37" t="s">
        <v>78</v>
      </c>
      <c r="F34" s="37" t="s">
        <v>74</v>
      </c>
      <c r="G34" s="37">
        <v>6.6629234361080307</v>
      </c>
    </row>
    <row r="35" spans="2:7" x14ac:dyDescent="0.25">
      <c r="B35" s="37" t="s">
        <v>70</v>
      </c>
      <c r="C35" s="37" t="s">
        <v>21</v>
      </c>
      <c r="D35" s="39">
        <v>9993.34</v>
      </c>
      <c r="E35" s="37" t="s">
        <v>79</v>
      </c>
      <c r="F35" s="37" t="s">
        <v>74</v>
      </c>
      <c r="G35" s="39">
        <v>4993.337076563892</v>
      </c>
    </row>
    <row r="36" spans="2:7" x14ac:dyDescent="0.25">
      <c r="B36" s="37" t="s">
        <v>68</v>
      </c>
      <c r="C36" s="37" t="s">
        <v>27</v>
      </c>
      <c r="D36" s="39">
        <v>150000.01</v>
      </c>
      <c r="E36" s="37" t="s">
        <v>80</v>
      </c>
      <c r="F36" s="37" t="s">
        <v>74</v>
      </c>
      <c r="G36" s="37">
        <v>149999.99091142567</v>
      </c>
    </row>
    <row r="37" spans="2:7" x14ac:dyDescent="0.25">
      <c r="B37" s="37" t="s">
        <v>68</v>
      </c>
      <c r="C37" s="37" t="s">
        <v>27</v>
      </c>
      <c r="D37" s="39">
        <v>150000.01</v>
      </c>
      <c r="E37" s="37" t="s">
        <v>81</v>
      </c>
      <c r="F37" s="37" t="s">
        <v>74</v>
      </c>
      <c r="G37" s="39">
        <v>50000.009088574327</v>
      </c>
    </row>
    <row r="38" spans="2:7" ht="15.75" thickBot="1" x14ac:dyDescent="0.3">
      <c r="B38" s="35" t="s">
        <v>82</v>
      </c>
      <c r="C38" s="35"/>
      <c r="D38" s="35"/>
      <c r="E38" s="35"/>
      <c r="F38" s="35"/>
      <c r="G38" s="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B12" sqref="B12"/>
    </sheetView>
  </sheetViews>
  <sheetFormatPr defaultRowHeight="15" x14ac:dyDescent="0.25"/>
  <cols>
    <col min="1" max="1" width="19.85546875" bestFit="1" customWidth="1"/>
    <col min="2" max="2" width="16.85546875" customWidth="1"/>
    <col min="3" max="3" width="6.5703125" customWidth="1"/>
    <col min="4" max="4" width="7.140625" customWidth="1"/>
    <col min="5" max="5" width="10.42578125" customWidth="1"/>
    <col min="6" max="7" width="12.7109375" customWidth="1"/>
    <col min="8" max="8" width="6.5703125" customWidth="1"/>
    <col min="9" max="9" width="8.85546875" customWidth="1"/>
    <col min="10" max="10" width="20.28515625" customWidth="1"/>
    <col min="11" max="11" width="13.140625" customWidth="1"/>
    <col min="12" max="12" width="12.7109375" customWidth="1"/>
  </cols>
  <sheetData>
    <row r="1" spans="1:12" x14ac:dyDescent="0.25">
      <c r="A1" s="6" t="s">
        <v>0</v>
      </c>
      <c r="B1" s="6"/>
      <c r="D1" s="6" t="s">
        <v>12</v>
      </c>
      <c r="E1" s="6"/>
      <c r="F1" s="6"/>
      <c r="G1" s="6"/>
      <c r="I1" s="6" t="s">
        <v>16</v>
      </c>
      <c r="J1" s="6"/>
      <c r="K1" s="6"/>
      <c r="L1" s="6"/>
    </row>
    <row r="2" spans="1:12" x14ac:dyDescent="0.25">
      <c r="A2" s="5" t="s">
        <v>15</v>
      </c>
      <c r="B2" s="7">
        <v>150000.00908857433</v>
      </c>
      <c r="E2" s="4" t="s">
        <v>13</v>
      </c>
      <c r="F2" s="4"/>
      <c r="G2" s="4"/>
      <c r="J2" s="3" t="s">
        <v>14</v>
      </c>
      <c r="K2" s="3"/>
      <c r="L2" s="3"/>
    </row>
    <row r="3" spans="1:12" x14ac:dyDescent="0.25">
      <c r="A3" s="5" t="s">
        <v>1</v>
      </c>
      <c r="B3" s="7">
        <v>9993.337076563892</v>
      </c>
      <c r="D3" s="12" t="s">
        <v>2</v>
      </c>
      <c r="E3" s="14">
        <f>B12</f>
        <v>999.9999996643852</v>
      </c>
      <c r="F3" s="15">
        <f>B13</f>
        <v>239999.99991945244</v>
      </c>
      <c r="G3" s="16">
        <f>B14</f>
        <v>99993.327907441999</v>
      </c>
      <c r="I3" s="19">
        <f>B12</f>
        <v>999.9999996643852</v>
      </c>
      <c r="J3" s="17">
        <v>150000</v>
      </c>
      <c r="K3" s="17">
        <v>175000</v>
      </c>
      <c r="L3" s="17">
        <v>200000</v>
      </c>
    </row>
    <row r="4" spans="1:12" x14ac:dyDescent="0.25">
      <c r="A4" s="5" t="s">
        <v>2</v>
      </c>
      <c r="B4" s="8">
        <v>5.9621932131066466E-2</v>
      </c>
      <c r="D4" s="2">
        <v>0.04</v>
      </c>
      <c r="E4" s="1">
        <f t="dataTable" ref="E4:G12" dt2D="0" dtr="0" r1="B4" ca="1"/>
        <v>848.412892099538</v>
      </c>
      <c r="F4" s="1">
        <v>203619.09410388913</v>
      </c>
      <c r="G4" s="1">
        <v>63612.422091878689</v>
      </c>
      <c r="I4" s="18">
        <v>0.04</v>
      </c>
      <c r="J4" s="7">
        <f t="dataTable" ref="J4:L20" dt2D="1" dtr="1" r1="B2" r2="B4"/>
        <v>848.41283702456531</v>
      </c>
      <c r="K4" s="7">
        <v>999.90791934942001</v>
      </c>
      <c r="L4" s="7">
        <v>1151.4030016742747</v>
      </c>
    </row>
    <row r="5" spans="1:12" x14ac:dyDescent="0.25">
      <c r="A5" s="5" t="s">
        <v>3</v>
      </c>
      <c r="B5" s="9">
        <v>20</v>
      </c>
      <c r="D5" s="2">
        <v>4.2500000000000003E-2</v>
      </c>
      <c r="E5" s="1">
        <v>866.9695722426211</v>
      </c>
      <c r="F5" s="1">
        <v>208072.69733822907</v>
      </c>
      <c r="G5" s="1">
        <v>68066.025326218631</v>
      </c>
      <c r="I5" s="18">
        <v>4.2500000000000003E-2</v>
      </c>
      <c r="J5" s="7">
        <v>866.9695159630362</v>
      </c>
      <c r="K5" s="7">
        <v>1021.7781332566906</v>
      </c>
      <c r="L5" s="7">
        <v>1176.586750550345</v>
      </c>
    </row>
    <row r="6" spans="1:12" x14ac:dyDescent="0.25">
      <c r="A6" s="5" t="s">
        <v>4</v>
      </c>
      <c r="B6" s="9">
        <v>12</v>
      </c>
      <c r="D6" s="2">
        <v>4.4999999999999998E-2</v>
      </c>
      <c r="E6" s="1">
        <v>885.75133715031279</v>
      </c>
      <c r="F6" s="1">
        <v>212580.32091607508</v>
      </c>
      <c r="G6" s="1">
        <v>72573.648904064641</v>
      </c>
      <c r="I6" s="18">
        <v>4.4999999999999998E-2</v>
      </c>
      <c r="J6" s="7">
        <v>885.75127965150409</v>
      </c>
      <c r="K6" s="7">
        <v>1043.9136237064947</v>
      </c>
      <c r="L6" s="7">
        <v>1202.0759677614853</v>
      </c>
    </row>
    <row r="7" spans="1:12" x14ac:dyDescent="0.25">
      <c r="D7" s="2">
        <v>4.7500000000000001E-2</v>
      </c>
      <c r="E7" s="1">
        <v>904.75619500477194</v>
      </c>
      <c r="F7" s="1">
        <v>217141.48680114528</v>
      </c>
      <c r="G7" s="1">
        <v>77134.814789134834</v>
      </c>
      <c r="I7" s="18">
        <v>4.7500000000000001E-2</v>
      </c>
      <c r="J7" s="7">
        <v>904.75613627225721</v>
      </c>
      <c r="K7" s="7">
        <v>1066.312043216313</v>
      </c>
      <c r="L7" s="7">
        <v>1227.8679501603688</v>
      </c>
    </row>
    <row r="8" spans="1:12" x14ac:dyDescent="0.25">
      <c r="A8" s="6" t="s">
        <v>5</v>
      </c>
      <c r="B8" s="6"/>
      <c r="D8" s="2">
        <v>0.05</v>
      </c>
      <c r="E8" s="1">
        <v>923.98206722950454</v>
      </c>
      <c r="F8" s="1">
        <v>221755.69613508109</v>
      </c>
      <c r="G8" s="1">
        <v>81749.024123070645</v>
      </c>
      <c r="I8" s="18">
        <v>0.05</v>
      </c>
      <c r="J8" s="7">
        <v>923.98200724893661</v>
      </c>
      <c r="K8" s="7">
        <v>1088.970942053101</v>
      </c>
      <c r="L8" s="7">
        <v>1253.9598768572653</v>
      </c>
    </row>
    <row r="9" spans="1:12" x14ac:dyDescent="0.25">
      <c r="A9" s="5" t="s">
        <v>6</v>
      </c>
      <c r="B9" s="10">
        <f>B2-B3</f>
        <v>140006.67201201044</v>
      </c>
      <c r="D9" s="2">
        <v>5.2500000000000005E-2</v>
      </c>
      <c r="E9" s="1">
        <v>943.42679184689496</v>
      </c>
      <c r="F9" s="1">
        <v>226422.4300432548</v>
      </c>
      <c r="G9" s="1">
        <v>86415.758031244361</v>
      </c>
      <c r="I9" s="18">
        <v>5.2500000000000005E-2</v>
      </c>
      <c r="J9" s="7">
        <v>943.42673060406707</v>
      </c>
      <c r="K9" s="7">
        <v>1111.8877721903502</v>
      </c>
      <c r="L9" s="7">
        <v>1280.3488137766331</v>
      </c>
    </row>
    <row r="10" spans="1:12" x14ac:dyDescent="0.25">
      <c r="A10" s="5" t="s">
        <v>7</v>
      </c>
      <c r="B10" s="11">
        <f>B4/B6</f>
        <v>4.9684943442555385E-3</v>
      </c>
      <c r="D10" s="2">
        <v>5.5E-2</v>
      </c>
      <c r="E10" s="1">
        <v>963.08812692673268</v>
      </c>
      <c r="F10" s="1">
        <v>231141.15046241586</v>
      </c>
      <c r="G10" s="1">
        <v>91134.478450405411</v>
      </c>
      <c r="I10" s="18">
        <v>5.5E-2</v>
      </c>
      <c r="J10" s="7">
        <v>963.08806440758337</v>
      </c>
      <c r="K10" s="7">
        <v>1135.0598913723932</v>
      </c>
      <c r="L10" s="7">
        <v>1307.0317183372028</v>
      </c>
    </row>
    <row r="11" spans="1:12" x14ac:dyDescent="0.25">
      <c r="A11" s="5" t="s">
        <v>8</v>
      </c>
      <c r="B11" s="5">
        <f>B5*B6</f>
        <v>240</v>
      </c>
      <c r="D11" s="2">
        <v>5.7500000000000002E-2</v>
      </c>
      <c r="E11" s="1">
        <v>982.96375411544454</v>
      </c>
      <c r="F11" s="1">
        <v>235911.30098770669</v>
      </c>
      <c r="G11" s="1">
        <v>95904.628975696251</v>
      </c>
      <c r="I11" s="18">
        <v>5.7500000000000002E-2</v>
      </c>
      <c r="J11" s="7">
        <v>982.96369030606309</v>
      </c>
      <c r="K11" s="7">
        <v>1158.4845672738268</v>
      </c>
      <c r="L11" s="7">
        <v>1334.0054442415901</v>
      </c>
    </row>
    <row r="12" spans="1:12" x14ac:dyDescent="0.25">
      <c r="A12" s="5" t="s">
        <v>9</v>
      </c>
      <c r="B12" s="13">
        <f>PMT(Periodic_Rate,No._Payment_Periods,-Amount_of_Loan)</f>
        <v>999.9999996643852</v>
      </c>
      <c r="D12" s="2">
        <v>0.06</v>
      </c>
      <c r="E12" s="1">
        <v>1003.0512822356989</v>
      </c>
      <c r="F12" s="1">
        <v>240732.30773656772</v>
      </c>
      <c r="G12" s="1">
        <v>100725.63572455727</v>
      </c>
      <c r="I12" s="18">
        <v>0.06</v>
      </c>
      <c r="J12" s="7">
        <v>1003.0512171223297</v>
      </c>
      <c r="K12" s="7">
        <v>1182.158981741871</v>
      </c>
      <c r="L12" s="7">
        <v>1361.2667463614123</v>
      </c>
    </row>
    <row r="13" spans="1:12" x14ac:dyDescent="0.25">
      <c r="A13" s="5" t="s">
        <v>10</v>
      </c>
      <c r="B13" s="7">
        <f>B11*B12</f>
        <v>239999.99991945244</v>
      </c>
      <c r="I13" s="18">
        <v>6.25E-2</v>
      </c>
      <c r="J13" s="7">
        <v>1023.3481845150936</v>
      </c>
      <c r="K13" s="7">
        <v>1206.0802351094858</v>
      </c>
      <c r="L13" s="7">
        <v>1388.8122857038782</v>
      </c>
    </row>
    <row r="14" spans="1:12" x14ac:dyDescent="0.25">
      <c r="A14" s="5" t="s">
        <v>11</v>
      </c>
      <c r="B14" s="10">
        <f>Total_to_Repay_Loan-Amount_of_Loan</f>
        <v>99993.327907441999</v>
      </c>
      <c r="I14" s="18">
        <v>6.5000000000000002E-2</v>
      </c>
      <c r="J14" s="7">
        <v>1043.8520666883155</v>
      </c>
      <c r="K14" s="7">
        <v>1230.2453505670899</v>
      </c>
      <c r="L14" s="7">
        <v>1416.638634445864</v>
      </c>
    </row>
    <row r="15" spans="1:12" x14ac:dyDescent="0.25">
      <c r="I15" s="18">
        <v>6.7500000000000004E-2</v>
      </c>
      <c r="J15" s="7">
        <v>1064.5602761400839</v>
      </c>
      <c r="K15" s="7">
        <v>1254.6512785808479</v>
      </c>
      <c r="L15" s="7">
        <v>1444.7422810216119</v>
      </c>
    </row>
    <row r="16" spans="1:12" x14ac:dyDescent="0.25">
      <c r="I16" s="18">
        <v>7.0000000000000007E-2</v>
      </c>
      <c r="J16" s="7">
        <v>1085.4701674409057</v>
      </c>
      <c r="K16" s="7">
        <v>1279.2949013456243</v>
      </c>
      <c r="L16" s="7">
        <v>1473.119635250343</v>
      </c>
    </row>
    <row r="17" spans="9:12" x14ac:dyDescent="0.25">
      <c r="I17" s="18">
        <v>7.2500000000000009E-2</v>
      </c>
      <c r="J17" s="7">
        <v>1106.5790410314796</v>
      </c>
      <c r="K17" s="7">
        <v>1304.1730372608988</v>
      </c>
      <c r="L17" s="7">
        <v>1501.7670334903178</v>
      </c>
    </row>
    <row r="18" spans="9:12" x14ac:dyDescent="0.25">
      <c r="I18" s="18">
        <v>7.5000000000000011E-2</v>
      </c>
      <c r="J18" s="7">
        <v>1127.8841470302232</v>
      </c>
      <c r="K18" s="7">
        <v>1329.282445418175</v>
      </c>
      <c r="L18" s="7">
        <v>1530.6807438061269</v>
      </c>
    </row>
    <row r="19" spans="9:12" x14ac:dyDescent="0.25">
      <c r="I19" s="18">
        <v>7.7499999999999999E-2</v>
      </c>
      <c r="J19" s="7">
        <v>1149.3826890410583</v>
      </c>
      <c r="K19" s="7">
        <v>1354.619830088697</v>
      </c>
      <c r="L19" s="7">
        <v>1559.8569711363357</v>
      </c>
    </row>
    <row r="20" spans="9:12" x14ac:dyDescent="0.25">
      <c r="I20" s="18">
        <v>0.08</v>
      </c>
      <c r="J20" s="7">
        <v>1171.0718279522339</v>
      </c>
      <c r="K20" s="7">
        <v>1380.1818452005998</v>
      </c>
      <c r="L20" s="7">
        <v>1589.2918624489655</v>
      </c>
    </row>
  </sheetData>
  <scenarios current="1" show="2" sqref="B12:B14">
    <scenario name="&quot;Best Case Scenario&quot;" locked="1" count="4" user="Sam Zee" comment="Created by Sam Zee on 3/9/2026_x000a_Modified by Sam Zee on 3/9/2026">
      <inputCells r="B2" val="150000" numFmtId="44"/>
      <inputCells r="B3" val="10000" numFmtId="44"/>
      <inputCells r="B4" val="0.0225" numFmtId="10"/>
      <inputCells r="B5" val="15" numFmtId="164"/>
    </scenario>
    <scenario name="&quot;Worst Case Scenario&quot;" locked="1" count="4" user="Sam Zee" comment="Created by Sam Zee on 3/9/2026_x000a_Modified by Sam Zee on 3/9/2026">
      <inputCells r="B2" val="150000" numFmtId="44"/>
      <inputCells r="B3" val="45000" numFmtId="44"/>
      <inputCells r="B4" val="0.06" numFmtId="10"/>
      <inputCells r="B5" val="45" numFmtId="164"/>
    </scenario>
    <scenario name="Most Likely Scenario" locked="1" count="4" user="Sam Zee" comment="Created by Sam Zee on 3/9/2026_x000a_Modified by Sam Zee on 3/9/2026">
      <inputCells r="B2" val="150000" numFmtId="44"/>
      <inputCells r="B3" val="30000" numFmtId="44"/>
      <inputCells r="B4" val="0.0425" numFmtId="10"/>
      <inputCells r="B5" val="30" numFmtId="164"/>
    </scenario>
  </scenarios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ADF84-6311-49D9-8D9C-E45268896409}">
  <dimension ref="A1:B7"/>
  <sheetViews>
    <sheetView workbookViewId="0">
      <selection activeCell="D5" sqref="D5"/>
    </sheetView>
  </sheetViews>
  <sheetFormatPr defaultRowHeight="15" x14ac:dyDescent="0.25"/>
  <cols>
    <col min="1" max="1" width="20.7109375" customWidth="1"/>
    <col min="2" max="2" width="19" customWidth="1"/>
  </cols>
  <sheetData>
    <row r="1" spans="1:2" x14ac:dyDescent="0.25">
      <c r="A1" s="3" t="s">
        <v>17</v>
      </c>
      <c r="B1" s="3" t="s">
        <v>18</v>
      </c>
    </row>
    <row r="2" spans="1:2" x14ac:dyDescent="0.25">
      <c r="A2" t="s">
        <v>19</v>
      </c>
      <c r="B2" t="s">
        <v>20</v>
      </c>
    </row>
    <row r="3" spans="1:2" x14ac:dyDescent="0.25">
      <c r="A3" t="s">
        <v>21</v>
      </c>
      <c r="B3" t="s">
        <v>22</v>
      </c>
    </row>
    <row r="4" spans="1:2" x14ac:dyDescent="0.25">
      <c r="A4" t="s">
        <v>23</v>
      </c>
      <c r="B4" t="s">
        <v>24</v>
      </c>
    </row>
    <row r="5" spans="1:2" x14ac:dyDescent="0.25">
      <c r="A5" t="s">
        <v>25</v>
      </c>
      <c r="B5" t="s">
        <v>26</v>
      </c>
    </row>
    <row r="6" spans="1:2" x14ac:dyDescent="0.25">
      <c r="A6" t="s">
        <v>27</v>
      </c>
      <c r="B6" t="s">
        <v>28</v>
      </c>
    </row>
    <row r="7" spans="1:2" x14ac:dyDescent="0.25">
      <c r="A7" t="s">
        <v>29</v>
      </c>
      <c r="B7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roject>
  <id>2sFmjbiMf44riVPOFZBQ+Z3PhZZX2JgVgps54emNJAwW7S2wf/S/oK+s9+iISx/+3AdBujTLJiAXuH6WB7Cr3ytWAHL3zFbV-~zQ8PC9ii3qgfEusuHUsYGQ==#@#12462302#@#6/9/2018 9:49:44 PM</id>
</project>
</file>

<file path=customXml/itemProps1.xml><?xml version="1.0" encoding="utf-8"?>
<ds:datastoreItem xmlns:ds="http://schemas.openxmlformats.org/officeDocument/2006/customXml" ds:itemID="{C84323B3-2109-45B9-966B-7E41522E203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Scenario Summary</vt:lpstr>
      <vt:lpstr>Answer Report 1</vt:lpstr>
      <vt:lpstr>Home Loan</vt:lpstr>
      <vt:lpstr>Range Names</vt:lpstr>
      <vt:lpstr>Amount_of_Loan</vt:lpstr>
      <vt:lpstr>Down_Payment</vt:lpstr>
      <vt:lpstr>No._Payment_Periods</vt:lpstr>
      <vt:lpstr>Periodic_Rate</vt:lpstr>
      <vt:lpstr>Purchase_Price</vt:lpstr>
      <vt:lpstr>Total_to_Repay_Loan</vt:lpstr>
    </vt:vector>
  </TitlesOfParts>
  <Company>Pearson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Exploring Series</dc:creator>
  <cp:lastModifiedBy>Samer Zeeshan Mohsin</cp:lastModifiedBy>
  <dcterms:created xsi:type="dcterms:W3CDTF">2009-07-10T21:54:26Z</dcterms:created>
  <dcterms:modified xsi:type="dcterms:W3CDTF">2026-03-09T08:50:04Z</dcterms:modified>
</cp:coreProperties>
</file>